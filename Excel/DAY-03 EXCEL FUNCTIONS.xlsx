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<sst xmlns="http://schemas.openxmlformats.org/spreadsheetml/2006/main" count="33" uniqueCount="26">
  <si>
    <t>name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</si>
  <si>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</si>
  <si>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</si>
  <si>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</si>
  <si>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</si>
  <si>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</si>
  <si>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</si>
  <si>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</si>
  <si>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</si>
  <si>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</si>
  <si>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>SIMRAN</t>
  </si>
  <si>
    <t>KARAN</t>
  </si>
  <si>
    <t>ANJALI</t>
  </si>
  <si>
    <t>VIVEK</t>
  </si>
  <si>
    <t>POOJA</t>
  </si>
  <si>
    <t>IT</t>
  </si>
  <si>
    <t>HR</t>
  </si>
  <si>
    <t>SALES</t>
  </si>
  <si>
    <t>RESULT</t>
  </si>
  <si>
    <t>ANSWER1</t>
  </si>
  <si>
    <t>ANSWER2</t>
  </si>
  <si>
    <t>ANSWER3</t>
  </si>
  <si>
    <t>ANSWER4</t>
  </si>
  <si>
    <t>ANSWER5</t>
  </si>
  <si>
    <t>S</t>
  </si>
  <si>
    <t>EXCEL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</si>
</sst>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30" zoomScaleNormal="130" workbookViewId="0">
      <selection activeCell="G10" sqref="G10:H10"/>
    </sheetView>
  </sheetViews>
  <sheetFormatPr defaultRowHeight="14.5" x14ac:dyDescent="0.35"/>
  <cols>
    <col min="2" max="2" width="10.7265625" bestFit="1" customWidth="1"/>
    <col min="5" max="5" width="10.1796875" bestFit="1" customWidth="1"/>
    <col min="6" max="6" width="6.90625" bestFit="1" customWidth="1"/>
    <col min="7" max="7" width="15" bestFit="1" customWidth="1"/>
    <col min="8" max="8" width="12.08984375" bestFit="1" customWidth="1"/>
    <col min="9" max="9" width="15" bestFit="1" customWidth="1"/>
    <col min="10" max="10" width="14.54296875" bestFit="1" customWidth="1"/>
    <col min="11" max="11" width="15" bestFit="1" customWidth="1"/>
    <col min="12" max="12" width="14.54296875" bestFit="1" customWidth="1"/>
    <col min="13" max="13" width="1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J1" s="3" t="s">
        <v>25</v>
      </c>
      <c r="K1" s="3"/>
    </row>
    <row r="2" spans="1:13" x14ac:dyDescent="0.35">
      <c r="A2" t="s">
        <v>5</v>
      </c>
      <c r="B2" t="s">
        <v>15</v>
      </c>
      <c r="C2">
        <v>85</v>
      </c>
      <c r="D2">
        <v>45000</v>
      </c>
      <c r="E2" s="1">
        <v>0.92</v>
      </c>
      <c r="F2" t="str">
        <f>IF(C2&gt;80,"PASS")</f>
        <v>PASS</v>
      </c>
    </row>
    <row r="3" spans="1:13" x14ac:dyDescent="0.35">
      <c r="A3" t="s">
        <v>6</v>
      </c>
      <c r="B3" t="s">
        <v>16</v>
      </c>
      <c r="C3">
        <v>72</v>
      </c>
      <c r="D3">
        <v>38000</v>
      </c>
      <c r="E3" s="1">
        <v>0.85</v>
      </c>
      <c r="F3" t="b">
        <f t="shared" ref="F3:F11" si="0">IF(C3&gt;80,"PASS")</f>
        <v>0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5">
      <c r="A4" t="s">
        <v>7</v>
      </c>
      <c r="B4" t="s">
        <v>15</v>
      </c>
      <c r="C4">
        <v>65</v>
      </c>
      <c r="D4">
        <v>42000</v>
      </c>
      <c r="E4" s="1">
        <v>0.78</v>
      </c>
      <c r="F4" t="b">
        <f t="shared" si="0"/>
        <v>0</v>
      </c>
      <c r="I4" t="str">
        <f>IF(D2&gt;45000,"HIGH SALARY","NORMAL SALARY")</f>
        <v>NORMAL SALARY</v>
      </c>
      <c r="J4" t="str">
        <f>IF(E2&gt;80%,"ELEIGIBLE","NOT ELIGIBLE")</f>
        <v>ELEIGIBLE</v>
      </c>
      <c r="K4" t="str">
        <f>IF(C2&gt;90,"EXCELLENT","GOOD")</f>
        <v>GOOD</v>
      </c>
      <c r="L4" t="str">
        <f>IF(B2="IT","TECHNICAL","NON TECHNICAL")</f>
        <v>TECHNICAL</v>
      </c>
      <c r="M4" t="str">
        <f>IF(AND(C2&gt;85,E2&gt;90%),"TOP PERFORMER","STANDARD")</f>
        <v>STANDARD</v>
      </c>
    </row>
    <row r="5" spans="1:13" x14ac:dyDescent="0.35">
      <c r="A5" t="s">
        <v>8</v>
      </c>
      <c r="B5" t="s">
        <v>17</v>
      </c>
      <c r="C5">
        <v>91</v>
      </c>
      <c r="D5">
        <v>52000</v>
      </c>
      <c r="E5" s="1">
        <v>0.96</v>
      </c>
      <c r="F5" t="str">
        <f t="shared" si="0"/>
        <v>PASS</v>
      </c>
      <c r="I5" t="str">
        <f>IF(D3&gt;45000,"HIGH SALARY","NORMAL SALARY")</f>
        <v>NORMAL SALARY</v>
      </c>
      <c r="J5" t="str">
        <f>IF(E3&gt;80%,"ELEIGIBLE","NOT ELIGIBLE")</f>
        <v>ELEIGIBLE</v>
      </c>
      <c r="K5" t="str">
        <f>IF(C3&gt;90,"EXCELLENT","GOOD")</f>
        <v>GOOD</v>
      </c>
      <c r="L5" t="str">
        <f>IF(B3="IT","TECHNICAL","NON TECHNICAL")</f>
        <v>NON TECHNICAL</v>
      </c>
      <c r="M5" t="str">
        <f>IF(AND(C3&gt;85,E3&gt;90%),"TOP PERFORMER","STANDARD")</f>
        <v>STANDARD</v>
      </c>
    </row>
    <row r="6" spans="1:13" x14ac:dyDescent="0.35">
      <c r="A6" t="s">
        <v>9</v>
      </c>
      <c r="B6" t="s">
        <v>16</v>
      </c>
      <c r="C6">
        <v>58</v>
      </c>
      <c r="D6">
        <v>35000</v>
      </c>
      <c r="E6" s="1">
        <v>0.72</v>
      </c>
      <c r="F6" t="b">
        <f t="shared" si="0"/>
        <v>0</v>
      </c>
      <c r="I6" t="str">
        <f>IF(D4&gt;45000,"HIGH SALARY","NORMAL SALARY")</f>
        <v>NORMAL SALARY</v>
      </c>
      <c r="J6" t="str">
        <f>IF(E4&gt;80%,"ELEIGIBLE","NOT ELIGIBLE")</f>
        <v>NOT ELIGIBLE</v>
      </c>
      <c r="K6" t="str">
        <f>IF(C4&gt;90,"EXCELLENT","GOOD")</f>
        <v>GOOD</v>
      </c>
      <c r="L6" t="str">
        <f>IF(B4="IT","TECHNICAL","NON TECHNICAL")</f>
        <v>TECHNICAL</v>
      </c>
      <c r="M6" t="str">
        <f>IF(AND(C4&gt;85,E4&gt;90%),"TOP PERFORMER","STANDARD")</f>
        <v>STANDARD</v>
      </c>
    </row>
    <row r="7" spans="1:13" x14ac:dyDescent="0.35">
      <c r="A7" t="s">
        <v>10</v>
      </c>
      <c r="B7" t="s">
        <v>15</v>
      </c>
      <c r="C7">
        <v>78</v>
      </c>
      <c r="D7">
        <v>48000</v>
      </c>
      <c r="E7" s="1">
        <v>0.88</v>
      </c>
      <c r="F7" t="b">
        <f t="shared" si="0"/>
        <v>0</v>
      </c>
      <c r="I7" t="str">
        <f>IF(D5&gt;45000,"HIGH SALARY","NORMAL SALARY")</f>
        <v>HIGH SALARY</v>
      </c>
      <c r="J7" t="str">
        <f>IF(E5&gt;80%,"ELEIGIBLE","NOT ELIGIBLE")</f>
        <v>ELEIGIBLE</v>
      </c>
      <c r="K7" t="str">
        <f>IF(C5&gt;90,"EXCELLENT","GOOD")</f>
        <v>EXCELLENT</v>
      </c>
      <c r="L7" t="str">
        <f>IF(B5="IT","TECHNICAL","NON TECHNICAL")</f>
        <v>NON TECHNICAL</v>
      </c>
      <c r="M7" t="str">
        <f>IF(AND(C5&gt;85,E5&gt;90%),"TOP PERFORMER","STANDARD")</f>
        <v>TOP PERFORMER</v>
      </c>
    </row>
    <row r="8" spans="1:13" x14ac:dyDescent="0.35">
      <c r="A8" t="s">
        <v>11</v>
      </c>
      <c r="B8" t="s">
        <v>17</v>
      </c>
      <c r="C8">
        <v>69</v>
      </c>
      <c r="D8">
        <v>41000</v>
      </c>
      <c r="E8" s="1">
        <v>0.81</v>
      </c>
      <c r="F8" t="b">
        <f t="shared" si="0"/>
        <v>0</v>
      </c>
      <c r="I8" t="str">
        <f>IF(D6&gt;45000,"HIGH SALARY","NORMAL SALARY")</f>
        <v>NORMAL SALARY</v>
      </c>
      <c r="J8" t="str">
        <f>IF(E6&gt;80%,"ELEIGIBLE","NOT ELIGIBLE")</f>
        <v>NOT ELIGIBLE</v>
      </c>
      <c r="K8" t="str">
        <f>IF(C6&gt;90,"EXCELLENT","GOOD")</f>
        <v>GOOD</v>
      </c>
      <c r="L8" t="str">
        <f>IF(B6="IT","TECHNICAL","NON TECHNICAL")</f>
        <v>NON TECHNICAL</v>
      </c>
      <c r="M8" t="str">
        <f>IF(AND(C6&gt;85,E6&gt;90%),"TOP PERFORMER","STANDARD")</f>
        <v>STANDARD</v>
      </c>
    </row>
    <row r="9" spans="1:13" x14ac:dyDescent="0.35">
      <c r="A9" t="s">
        <v>12</v>
      </c>
      <c r="B9" t="s">
        <v>16</v>
      </c>
      <c r="C9">
        <v>88</v>
      </c>
      <c r="D9">
        <v>46000</v>
      </c>
      <c r="E9" s="1">
        <v>0.94</v>
      </c>
      <c r="F9" t="str">
        <f t="shared" si="0"/>
        <v>PASS</v>
      </c>
      <c r="I9" t="str">
        <f>IF(D7&gt;45000,"HIGH SALARY","NORMAL SALARY")</f>
        <v>HIGH SALARY</v>
      </c>
      <c r="J9" t="str">
        <f>IF(E7&gt;80%,"ELEIGIBLE","NOT ELIGIBLE")</f>
        <v>ELEIGIBLE</v>
      </c>
      <c r="K9" t="str">
        <f>IF(C7&gt;90,"EXCELLENT","GOOD")</f>
        <v>GOOD</v>
      </c>
      <c r="L9" t="str">
        <f>IF(B7="IT","TECHNICAL","NON TECHNICAL")</f>
        <v>TECHNICAL</v>
      </c>
      <c r="M9" t="str">
        <f>IF(AND(C7&gt;85,E7&gt;90%),"TOP PERFORMER","STANDARD")</f>
        <v>STANDARD</v>
      </c>
    </row>
    <row r="10" spans="1:13" x14ac:dyDescent="0.35">
      <c r="A10" t="s">
        <v>13</v>
      </c>
      <c r="B10" t="s">
        <v>15</v>
      </c>
      <c r="C10">
        <v>95</v>
      </c>
      <c r="D10">
        <v>60000</v>
      </c>
      <c r="E10" s="1">
        <v>0.98</v>
      </c>
      <c r="F10" t="str">
        <f t="shared" si="0"/>
        <v>PASS</v>
      </c>
      <c r="I10" t="str">
        <f>IF(D8&gt;45000,"HIGH SALARY","NORMAL SALARY")</f>
        <v>NORMAL SALARY</v>
      </c>
      <c r="J10" t="str">
        <f>IF(E8&gt;80%,"ELEIGIBLE","NOT ELIGIBLE")</f>
        <v>ELEIGIBLE</v>
      </c>
      <c r="K10" t="str">
        <f>IF(C8&gt;90,"EXCELLENT","GOOD")</f>
        <v>GOOD</v>
      </c>
      <c r="L10" t="str">
        <f>IF(B8="IT","TECHNICAL","NON TECHNICAL")</f>
        <v>NON TECHNICAL</v>
      </c>
      <c r="M10" t="str">
        <f>IF(AND(C8&gt;85,E8&gt;90%),"TOP PERFORMER","STANDARD")</f>
        <v>STANDARD</v>
      </c>
    </row>
    <row r="11" spans="1:13" x14ac:dyDescent="0.35">
      <c r="A11" t="s">
        <v>14</v>
      </c>
      <c r="B11" t="s">
        <v>17</v>
      </c>
      <c r="C11">
        <v>74</v>
      </c>
      <c r="D11">
        <v>39000</v>
      </c>
      <c r="E11" s="1">
        <v>0.86</v>
      </c>
      <c r="F11" t="b">
        <f t="shared" si="0"/>
        <v>0</v>
      </c>
      <c r="I11" t="str">
        <f>IF(D9&gt;45000,"HIGH SALARY","NORMAL SALARY")</f>
        <v>HIGH SALARY</v>
      </c>
      <c r="J11" t="str">
        <f>IF(E9&gt;80%,"ELEIGIBLE","NOT ELIGIBLE")</f>
        <v>ELEIGIBLE</v>
      </c>
      <c r="K11" t="str">
        <f>IF(C9&gt;90,"EXCELLENT","GOOD")</f>
        <v>GOOD</v>
      </c>
      <c r="L11" t="str">
        <f>IF(B9="IT","TECHNICAL","NON TECHNICAL")</f>
        <v>NON TECHNICAL</v>
      </c>
      <c r="M11" t="str">
        <f>IF(AND(C9&gt;85,E9&gt;90%),"TOP PERFORMER","STANDARD")</f>
        <v>TOP PERFORMER</v>
      </c>
    </row>
    <row r="12" spans="1:13" x14ac:dyDescent="0.35">
      <c r="I12" t="str">
        <f>IF(D10&gt;45000,"HIGH SALARY","NORMAL SALARY")</f>
        <v>HIGH SALARY</v>
      </c>
      <c r="J12" t="str">
        <f>IF(E10&gt;80%,"ELEIGIBLE","NOT ELIGIBLE")</f>
        <v>ELEIGIBLE</v>
      </c>
      <c r="K12" t="str">
        <f>IF(C10&gt;90,"EXCELLENT","GOOD")</f>
        <v>EXCELLENT</v>
      </c>
      <c r="L12" t="str">
        <f>IF(B10="IT","TECHNICAL","NON TECHNICAL")</f>
        <v>TECHNICAL</v>
      </c>
      <c r="M12" t="str">
        <f>IF(AND(C10&gt;85,E10&gt;90%),"TOP PERFORMER","STANDARD")</f>
        <v>TOP PERFORMER</v>
      </c>
    </row>
    <row r="13" spans="1:13" x14ac:dyDescent="0.35">
      <c r="I13" t="str">
        <f>IF(D11&gt;45000,"HIGH SALARY","NORMAL SALARY")</f>
        <v>NORMAL SALARY</v>
      </c>
      <c r="J13" t="str">
        <f>IF(E11&gt;80%,"ELEIGIBLE","NOT ELIGIBLE")</f>
        <v>ELEIGIBLE</v>
      </c>
      <c r="K13" t="str">
        <f>IF(C11&gt;90,"EXCELLENT","GOOD")</f>
        <v>GOOD</v>
      </c>
      <c r="L13" t="str">
        <f>IF(B11="IT","TECHNICAL","NON TECHNICAL")</f>
        <v>NON TECHNICAL</v>
      </c>
      <c r="M13" t="str">
        <f>IF(AND(C11&gt;85,E11&gt;90%),"TOP PERFORMER","STANDARD")</f>
        <v>STANDARD</v>
      </c>
    </row>
    <row r="17" spans="11:11" x14ac:dyDescent="0.35">
      <c r="K17" t="s">
        <v>24</v>
      </c>
    </row>
  </sheetData>
  <mergeCells count="1">
    <mergeCell ref="J1:K1"/>
  </mergeCells>
  <pageMargins left="0.31" right="0.70866141732283472" top="0.74803149606299213" bottom="0.74803149606299213" header="0.31496062992125984" footer="0.31496062992125984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2026-10-08T10:27:44Z</dcterms:modified>
</cp:coreProperties>
</file>